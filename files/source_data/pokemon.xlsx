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db758b79a2d8f8/Documents/Dan/test_scripts/project/files/"/>
    </mc:Choice>
  </mc:AlternateContent>
  <xr:revisionPtr revIDLastSave="62" documentId="8_{E886035E-F80C-4B92-B8A9-2D1EE1C9277D}" xr6:coauthVersionLast="47" xr6:coauthVersionMax="47" xr10:uidLastSave="{92BCC7C9-D435-4FB8-8326-72142B56BC10}"/>
  <bookViews>
    <workbookView xWindow="-80" yWindow="-80" windowWidth="19360" windowHeight="10240" xr2:uid="{686FD583-654D-4DE9-AC6B-9DF537E0A97A}"/>
  </bookViews>
  <sheets>
    <sheet name="Pokemon Cards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<sst xmlns="http://schemas.openxmlformats.org/spreadsheetml/2006/main" count="341" uniqueCount="106">
  <si>
    <t>Card</t>
  </si>
  <si>
    <t>Set</t>
  </si>
  <si>
    <t>Year</t>
  </si>
  <si>
    <t>Graded</t>
  </si>
  <si>
    <t>Grade</t>
  </si>
  <si>
    <t>Grading Company</t>
  </si>
  <si>
    <t>Grading Certification Number</t>
  </si>
  <si>
    <t>Graded Card URL</t>
  </si>
  <si>
    <t>Holo</t>
  </si>
  <si>
    <t>1st Edition</t>
  </si>
  <si>
    <t>Language</t>
  </si>
  <si>
    <t>Additional Details 1</t>
  </si>
  <si>
    <t>Additional Details 2</t>
  </si>
  <si>
    <t>Purchase Price GBP</t>
  </si>
  <si>
    <t>Postage Fees GBP</t>
  </si>
  <si>
    <t>Total GBP</t>
  </si>
  <si>
    <t>Date Purchased</t>
  </si>
  <si>
    <t>Source</t>
  </si>
  <si>
    <t>Seller</t>
  </si>
  <si>
    <t>Website</t>
  </si>
  <si>
    <t>Dark Blastoise</t>
  </si>
  <si>
    <t>Team Rocket</t>
  </si>
  <si>
    <t>No</t>
  </si>
  <si>
    <t>Yes</t>
  </si>
  <si>
    <t>English</t>
  </si>
  <si>
    <t>Comic-Con</t>
  </si>
  <si>
    <t>The Brotherhood Games</t>
  </si>
  <si>
    <t>https://thebrotherhoodgames.co.uk/products/Pokemon-c160349505</t>
  </si>
  <si>
    <t>Togetic</t>
  </si>
  <si>
    <t>Neo Genesis</t>
  </si>
  <si>
    <t>PSA</t>
  </si>
  <si>
    <t>eBay</t>
  </si>
  <si>
    <t>coco_mew</t>
  </si>
  <si>
    <t>Charizard</t>
  </si>
  <si>
    <t>Japanese</t>
  </si>
  <si>
    <t>emanator88</t>
  </si>
  <si>
    <t>Elite Trainer Box</t>
  </si>
  <si>
    <t>smithydaniel19</t>
  </si>
  <si>
    <t>Charmander</t>
  </si>
  <si>
    <t>Base Set</t>
  </si>
  <si>
    <t>1999-2000</t>
  </si>
  <si>
    <t>wilson406</t>
  </si>
  <si>
    <t>Squirtle</t>
  </si>
  <si>
    <t>andearn-36</t>
  </si>
  <si>
    <t>Typhlosion</t>
  </si>
  <si>
    <t>cardmastersuk</t>
  </si>
  <si>
    <t>Pikachu</t>
  </si>
  <si>
    <t>Yellow Cheeks</t>
  </si>
  <si>
    <t>rorye94</t>
  </si>
  <si>
    <t>Shadowless</t>
  </si>
  <si>
    <t>gokujjr</t>
  </si>
  <si>
    <t>Houndoom</t>
  </si>
  <si>
    <t>Neo 2</t>
  </si>
  <si>
    <t>calsharcollectables</t>
  </si>
  <si>
    <t>Dark Alakazam</t>
  </si>
  <si>
    <t>rob145558</t>
  </si>
  <si>
    <t>Radiant Blastoise</t>
  </si>
  <si>
    <t>Pokémon Go</t>
  </si>
  <si>
    <t>Ace</t>
  </si>
  <si>
    <t>wickfordcards</t>
  </si>
  <si>
    <t>Raichu</t>
  </si>
  <si>
    <t>Flight of Legends</t>
  </si>
  <si>
    <t>purpleoblivion</t>
  </si>
  <si>
    <t>j_a_cards</t>
  </si>
  <si>
    <t>Arcanine</t>
  </si>
  <si>
    <t>Bonds To The End Of Time</t>
  </si>
  <si>
    <t>ascendancecollectibles</t>
  </si>
  <si>
    <t>Blastoise</t>
  </si>
  <si>
    <t>Hollow Shining Darkness</t>
  </si>
  <si>
    <t>Overall total GBP</t>
  </si>
  <si>
    <t>https://ebay.co.uk</t>
  </si>
  <si>
    <t>wookiewhiskers</t>
  </si>
  <si>
    <t>Dark Weezing</t>
  </si>
  <si>
    <t>tcec0308</t>
  </si>
  <si>
    <t>Magneton</t>
  </si>
  <si>
    <t>Fossil</t>
  </si>
  <si>
    <t>PG</t>
  </si>
  <si>
    <t>d-tcg112</t>
  </si>
  <si>
    <t>JPN S-P</t>
  </si>
  <si>
    <t>Grand Prix Illustrator</t>
  </si>
  <si>
    <t>poke_phd</t>
  </si>
  <si>
    <t>Radiant Charizard</t>
  </si>
  <si>
    <t>JPN SWSH</t>
  </si>
  <si>
    <t>VSTAR Universe</t>
  </si>
  <si>
    <t>drphilcards3</t>
  </si>
  <si>
    <t>Radiant Venasaur</t>
  </si>
  <si>
    <t>Pokémon Go JPN</t>
  </si>
  <si>
    <t>cardstoreuk</t>
  </si>
  <si>
    <t>Rarity</t>
  </si>
  <si>
    <t>Promo</t>
  </si>
  <si>
    <t>Rare</t>
  </si>
  <si>
    <t>Common</t>
  </si>
  <si>
    <t>Illustrator Rare</t>
  </si>
  <si>
    <t>Additional Details 3</t>
  </si>
  <si>
    <t>4th Print</t>
  </si>
  <si>
    <t>Golem</t>
  </si>
  <si>
    <t>Uncommon</t>
  </si>
  <si>
    <t>Grade Description</t>
  </si>
  <si>
    <t>Grading Company Full Name</t>
  </si>
  <si>
    <t>Professional Sports Authenticator</t>
  </si>
  <si>
    <t>PokeGrade</t>
  </si>
  <si>
    <t>Excellent</t>
  </si>
  <si>
    <t>Mint</t>
  </si>
  <si>
    <t>Gem Mint</t>
  </si>
  <si>
    <t>Lightly Played</t>
  </si>
  <si>
    <t>NM-Mint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</si>
</sst>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  <xf numFmtId="0" fontId="3" fillId="0" borderId="1" xfId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1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9B8CFB1-3B18-4644-A177-19CF0BD8612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L-LwEPkMoFHpn5ag9XXt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F21358B-1E88-4A08-9F4D-49E381D62287}">
  <we:reference id="wa200007447" version="1.1.6.6" store="en-US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bay.co.uk/" TargetMode="External"/><Relationship Id="rId3" Type="http://schemas.openxmlformats.org/officeDocument/2006/relationships/hyperlink" Target="https://ebay.co.uk/" TargetMode="External"/><Relationship Id="rId7" Type="http://schemas.openxmlformats.org/officeDocument/2006/relationships/hyperlink" Target="https://ebay.co.uk/" TargetMode="External"/><Relationship Id="rId2" Type="http://schemas.openxmlformats.org/officeDocument/2006/relationships/hyperlink" Target="https://ebay.co.uk/" TargetMode="External"/><Relationship Id="rId1" Type="http://schemas.openxmlformats.org/officeDocument/2006/relationships/hyperlink" Target="https://thebrotherhoodgames.co.uk/products/Pokemon-c160349505" TargetMode="External"/><Relationship Id="rId6" Type="http://schemas.openxmlformats.org/officeDocument/2006/relationships/hyperlink" Target="https://ebay.co.uk/" TargetMode="External"/><Relationship Id="rId5" Type="http://schemas.openxmlformats.org/officeDocument/2006/relationships/hyperlink" Target="https://ebay.co.uk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ebay.co.uk/" TargetMode="External"/><Relationship Id="rId9" Type="http://schemas.openxmlformats.org/officeDocument/2006/relationships/hyperlink" Target="https://ebay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B1E0-C7EA-4BF7-B295-6D2E9F33AD3F}">
  <sheetPr codeName="Sheet1"/>
  <dimension ref="A1:AT1001"/>
  <sheetViews>
    <sheetView tabSelected="1" zoomScale="70" zoomScaleNormal="70" workbookViewId="0">
      <pane ySplit="1" topLeftCell="A2" activePane="bottomLeft" state="frozen"/>
      <selection activeCell="F1" sqref="F1"/>
      <selection pane="bottomLeft" activeCell="I35" sqref="I35"/>
    </sheetView>
  </sheetViews>
  <sheetFormatPr defaultRowHeight="14.5" x14ac:dyDescent="0.35"/>
  <cols>
    <col min="1" max="1" width="15.90625" customWidth="1"/>
    <col min="2" max="2" width="23.7265625" bestFit="1" customWidth="1"/>
    <col min="3" max="3" width="9.453125" bestFit="1" customWidth="1"/>
    <col min="4" max="4" width="8.7265625" bestFit="1" customWidth="1"/>
    <col min="5" max="5" width="7.453125" bestFit="1" customWidth="1"/>
    <col min="6" max="6" width="19.1796875" bestFit="1" customWidth="1"/>
    <col min="7" max="7" width="30.26953125" bestFit="1" customWidth="1"/>
    <col min="8" max="8" width="19.7265625" bestFit="1" customWidth="1"/>
    <col min="9" max="9" width="31.36328125" bestFit="1" customWidth="1"/>
    <col min="10" max="10" width="18.81640625" bestFit="1" customWidth="1"/>
    <col min="11" max="11" width="6.54296875" bestFit="1" customWidth="1"/>
    <col min="12" max="12" width="12" bestFit="1" customWidth="1"/>
    <col min="13" max="13" width="8.453125" bestFit="1" customWidth="1"/>
    <col min="14" max="14" width="11" bestFit="1" customWidth="1"/>
    <col min="15" max="15" width="13.1796875" bestFit="1" customWidth="1"/>
    <col min="16" max="16" width="21.08984375" bestFit="1" customWidth="1"/>
    <col min="17" max="18" width="21.54296875" bestFit="1" customWidth="1"/>
    <col min="19" max="19" width="22.453125" bestFit="1" customWidth="1"/>
    <col min="20" max="20" width="21.08984375" bestFit="1" customWidth="1"/>
    <col min="21" max="21" width="12.26953125" bestFit="1" customWidth="1"/>
    <col min="22" max="22" width="17.7265625" bestFit="1" customWidth="1"/>
    <col min="23" max="23" width="9.6328125" bestFit="1" customWidth="1"/>
    <col min="24" max="24" width="20.7265625" bestFit="1" customWidth="1"/>
    <col min="25" max="25" width="57.36328125" bestFit="1" customWidth="1"/>
    <col min="26" max="26" width="16.7265625" bestFit="1" customWidth="1"/>
  </cols>
  <sheetData>
    <row r="1" spans="1:46" s="7" customFormat="1" ht="15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98</v>
      </c>
      <c r="H1" s="8" t="s">
        <v>97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89</v>
      </c>
      <c r="N1" s="8" t="s">
        <v>10</v>
      </c>
      <c r="O1" s="8" t="s">
        <v>88</v>
      </c>
      <c r="P1" s="8" t="s">
        <v>11</v>
      </c>
      <c r="Q1" s="8" t="s">
        <v>12</v>
      </c>
      <c r="R1" s="8" t="s">
        <v>93</v>
      </c>
      <c r="S1" s="8" t="s">
        <v>13</v>
      </c>
      <c r="T1" s="8" t="s">
        <v>14</v>
      </c>
      <c r="U1" s="8" t="s">
        <v>15</v>
      </c>
      <c r="V1" s="8" t="s">
        <v>16</v>
      </c>
      <c r="W1" s="8" t="s">
        <v>17</v>
      </c>
      <c r="X1" s="8" t="s">
        <v>18</v>
      </c>
      <c r="Y1" s="8" t="s">
        <v>19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29.5" thickBot="1" x14ac:dyDescent="0.4">
      <c r="A2" s="1" t="s">
        <v>20</v>
      </c>
      <c r="B2" s="1" t="s">
        <v>21</v>
      </c>
      <c r="C2" s="2">
        <v>2000</v>
      </c>
      <c r="D2" s="1" t="s">
        <v>22</v>
      </c>
      <c r="E2" s="1"/>
      <c r="F2" s="1"/>
      <c r="G2" s="1"/>
      <c r="H2" s="1"/>
      <c r="I2" s="1"/>
      <c r="J2" s="1"/>
      <c r="K2" s="1" t="s">
        <v>23</v>
      </c>
      <c r="L2" s="1" t="s">
        <v>22</v>
      </c>
      <c r="M2" s="1" t="s">
        <v>22</v>
      </c>
      <c r="N2" s="1" t="s">
        <v>24</v>
      </c>
      <c r="O2" s="1" t="s">
        <v>90</v>
      </c>
      <c r="P2" s="1" t="s">
        <v>104</v>
      </c>
      <c r="Q2" s="1"/>
      <c r="R2" s="1"/>
      <c r="S2" s="2">
        <v>20</v>
      </c>
      <c r="T2" s="1"/>
      <c r="U2" s="2">
        <v>20</v>
      </c>
      <c r="V2" s="3">
        <v>45436</v>
      </c>
      <c r="W2" s="1" t="s">
        <v>25</v>
      </c>
      <c r="X2" s="1" t="s">
        <v>26</v>
      </c>
      <c r="Y2" s="4" t="s">
        <v>27</v>
      </c>
      <c r="Z2" s="2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5" thickBot="1" x14ac:dyDescent="0.4">
      <c r="A3" s="1" t="s">
        <v>28</v>
      </c>
      <c r="B3" s="1" t="s">
        <v>29</v>
      </c>
      <c r="C3" s="2">
        <v>2000</v>
      </c>
      <c r="D3" s="1" t="s">
        <v>23</v>
      </c>
      <c r="E3" s="2">
        <v>6</v>
      </c>
      <c r="F3" s="1" t="s">
        <v>30</v>
      </c>
      <c r="G3" s="1" t="s">
        <v>99</v>
      </c>
      <c r="H3" s="1" t="s">
        <v>101</v>
      </c>
      <c r="I3" s="1"/>
      <c r="J3" s="1"/>
      <c r="K3" s="1" t="s">
        <v>23</v>
      </c>
      <c r="L3" s="1" t="s">
        <v>23</v>
      </c>
      <c r="M3" s="1" t="s">
        <v>22</v>
      </c>
      <c r="N3" s="1" t="s">
        <v>24</v>
      </c>
      <c r="O3" s="1" t="s">
        <v>90</v>
      </c>
      <c r="P3" s="1"/>
      <c r="Q3" s="1"/>
      <c r="R3" s="1"/>
      <c r="S3" s="2">
        <v>32</v>
      </c>
      <c r="T3" s="2">
        <v>0</v>
      </c>
      <c r="U3" s="2">
        <v>32</v>
      </c>
      <c r="V3" s="5">
        <v>45450</v>
      </c>
      <c r="W3" s="1" t="s">
        <v>31</v>
      </c>
      <c r="X3" s="1" t="s">
        <v>32</v>
      </c>
      <c r="Y3" s="4" t="s">
        <v>70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thickBot="1" x14ac:dyDescent="0.4">
      <c r="A4" s="1" t="s">
        <v>33</v>
      </c>
      <c r="B4" s="1"/>
      <c r="C4" s="2">
        <v>2022</v>
      </c>
      <c r="D4" s="1" t="s">
        <v>23</v>
      </c>
      <c r="E4" s="2">
        <v>9</v>
      </c>
      <c r="F4" s="1" t="s">
        <v>30</v>
      </c>
      <c r="G4" s="1" t="s">
        <v>99</v>
      </c>
      <c r="H4" s="9" t="s">
        <v>102</v>
      </c>
      <c r="I4" s="1"/>
      <c r="J4" s="1"/>
      <c r="K4" s="1" t="s">
        <v>23</v>
      </c>
      <c r="L4" s="1" t="s">
        <v>22</v>
      </c>
      <c r="M4" s="1" t="s">
        <v>22</v>
      </c>
      <c r="N4" s="1" t="s">
        <v>34</v>
      </c>
      <c r="O4" s="1" t="s">
        <v>90</v>
      </c>
      <c r="P4" s="1"/>
      <c r="Q4" s="1"/>
      <c r="R4" s="1"/>
      <c r="S4" s="2">
        <v>19.989999999999998</v>
      </c>
      <c r="T4" s="2">
        <v>2.7</v>
      </c>
      <c r="U4" s="2">
        <v>22.69</v>
      </c>
      <c r="V4" s="5">
        <v>45450</v>
      </c>
      <c r="W4" s="1" t="s">
        <v>31</v>
      </c>
      <c r="X4" s="1" t="s">
        <v>35</v>
      </c>
      <c r="Y4" s="4" t="s">
        <v>70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5" thickBot="1" x14ac:dyDescent="0.4">
      <c r="A5" s="1" t="s">
        <v>33</v>
      </c>
      <c r="B5" s="1" t="s">
        <v>36</v>
      </c>
      <c r="C5" s="2">
        <v>2020</v>
      </c>
      <c r="D5" s="1" t="s">
        <v>23</v>
      </c>
      <c r="E5" s="2">
        <v>10</v>
      </c>
      <c r="F5" s="1" t="s">
        <v>30</v>
      </c>
      <c r="G5" s="1" t="s">
        <v>99</v>
      </c>
      <c r="H5" s="1" t="s">
        <v>103</v>
      </c>
      <c r="I5" s="1"/>
      <c r="J5" s="1"/>
      <c r="K5" s="1" t="s">
        <v>23</v>
      </c>
      <c r="L5" s="1" t="s">
        <v>22</v>
      </c>
      <c r="M5" s="1" t="s">
        <v>22</v>
      </c>
      <c r="N5" s="1" t="s">
        <v>24</v>
      </c>
      <c r="O5" s="1" t="s">
        <v>90</v>
      </c>
      <c r="P5" s="1"/>
      <c r="Q5" s="1"/>
      <c r="R5" s="1"/>
      <c r="S5" s="2">
        <v>31.45</v>
      </c>
      <c r="T5" s="2">
        <v>0</v>
      </c>
      <c r="U5" s="2">
        <v>31.45</v>
      </c>
      <c r="V5" s="5">
        <v>45451</v>
      </c>
      <c r="W5" s="1" t="s">
        <v>31</v>
      </c>
      <c r="X5" s="1" t="s">
        <v>37</v>
      </c>
      <c r="Y5" s="4" t="s">
        <v>70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5" thickBot="1" x14ac:dyDescent="0.4">
      <c r="A6" s="1" t="s">
        <v>38</v>
      </c>
      <c r="B6" s="1" t="s">
        <v>39</v>
      </c>
      <c r="C6" s="1" t="s">
        <v>40</v>
      </c>
      <c r="D6" s="1" t="s">
        <v>23</v>
      </c>
      <c r="E6" s="2">
        <v>9</v>
      </c>
      <c r="F6" s="1" t="s">
        <v>30</v>
      </c>
      <c r="G6" s="1" t="s">
        <v>99</v>
      </c>
      <c r="H6" s="1" t="s">
        <v>102</v>
      </c>
      <c r="I6" s="1"/>
      <c r="J6" s="1"/>
      <c r="K6" s="1" t="s">
        <v>22</v>
      </c>
      <c r="L6" s="1" t="s">
        <v>22</v>
      </c>
      <c r="M6" s="1" t="s">
        <v>22</v>
      </c>
      <c r="N6" s="1" t="s">
        <v>24</v>
      </c>
      <c r="O6" s="1" t="s">
        <v>91</v>
      </c>
      <c r="P6" s="1" t="s">
        <v>94</v>
      </c>
      <c r="Q6" s="1"/>
      <c r="R6" s="1"/>
      <c r="S6" s="2">
        <v>29.51</v>
      </c>
      <c r="T6" s="2">
        <v>0</v>
      </c>
      <c r="U6" s="2">
        <v>29.51</v>
      </c>
      <c r="V6" s="5">
        <v>45451</v>
      </c>
      <c r="W6" s="1" t="s">
        <v>31</v>
      </c>
      <c r="X6" s="1" t="s">
        <v>41</v>
      </c>
      <c r="Y6" s="4" t="s">
        <v>70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5" thickBot="1" x14ac:dyDescent="0.4">
      <c r="A7" s="1" t="s">
        <v>42</v>
      </c>
      <c r="B7" s="1"/>
      <c r="C7" s="2">
        <v>2023</v>
      </c>
      <c r="D7" s="1" t="s">
        <v>23</v>
      </c>
      <c r="E7" s="2">
        <v>10</v>
      </c>
      <c r="F7" s="1" t="s">
        <v>30</v>
      </c>
      <c r="G7" s="1" t="s">
        <v>99</v>
      </c>
      <c r="H7" s="1" t="s">
        <v>103</v>
      </c>
      <c r="I7" s="1"/>
      <c r="J7" s="1"/>
      <c r="K7" s="1" t="s">
        <v>23</v>
      </c>
      <c r="L7" s="1" t="s">
        <v>22</v>
      </c>
      <c r="M7" s="1" t="s">
        <v>22</v>
      </c>
      <c r="N7" s="1" t="s">
        <v>24</v>
      </c>
      <c r="O7" s="1" t="s">
        <v>92</v>
      </c>
      <c r="P7" s="1"/>
      <c r="Q7" s="1"/>
      <c r="R7" s="1"/>
      <c r="S7" s="2">
        <v>25</v>
      </c>
      <c r="T7" s="2">
        <v>0</v>
      </c>
      <c r="U7" s="2">
        <v>25</v>
      </c>
      <c r="V7" s="5">
        <v>45452</v>
      </c>
      <c r="W7" s="1" t="s">
        <v>31</v>
      </c>
      <c r="X7" s="1" t="s">
        <v>43</v>
      </c>
      <c r="Y7" s="4" t="s">
        <v>70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5" thickBot="1" x14ac:dyDescent="0.4">
      <c r="A8" s="1" t="s">
        <v>44</v>
      </c>
      <c r="B8" s="1" t="s">
        <v>29</v>
      </c>
      <c r="C8" s="2">
        <v>2000</v>
      </c>
      <c r="D8" s="1" t="s">
        <v>23</v>
      </c>
      <c r="E8" s="2">
        <v>9</v>
      </c>
      <c r="F8" s="1" t="s">
        <v>30</v>
      </c>
      <c r="G8" s="1" t="s">
        <v>99</v>
      </c>
      <c r="H8" s="1" t="s">
        <v>102</v>
      </c>
      <c r="I8" s="1"/>
      <c r="J8" s="1"/>
      <c r="K8" s="1" t="s">
        <v>23</v>
      </c>
      <c r="L8" s="1" t="s">
        <v>22</v>
      </c>
      <c r="M8" s="1" t="s">
        <v>22</v>
      </c>
      <c r="N8" s="1" t="s">
        <v>34</v>
      </c>
      <c r="O8" s="1" t="s">
        <v>90</v>
      </c>
      <c r="P8" s="1"/>
      <c r="Q8" s="1"/>
      <c r="R8" s="1"/>
      <c r="S8" s="2">
        <v>48</v>
      </c>
      <c r="T8" s="2">
        <v>2.7</v>
      </c>
      <c r="U8" s="2">
        <v>50.7</v>
      </c>
      <c r="V8" s="5">
        <v>45452</v>
      </c>
      <c r="W8" s="1" t="s">
        <v>31</v>
      </c>
      <c r="X8" s="1" t="s">
        <v>45</v>
      </c>
      <c r="Y8" s="4" t="s">
        <v>70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5" thickBot="1" x14ac:dyDescent="0.4">
      <c r="A9" s="1" t="s">
        <v>46</v>
      </c>
      <c r="B9" s="1" t="s">
        <v>39</v>
      </c>
      <c r="C9" s="1" t="s">
        <v>40</v>
      </c>
      <c r="D9" s="1" t="s">
        <v>23</v>
      </c>
      <c r="E9" s="2">
        <v>9</v>
      </c>
      <c r="F9" s="1" t="s">
        <v>30</v>
      </c>
      <c r="G9" s="1" t="s">
        <v>99</v>
      </c>
      <c r="H9" s="1" t="s">
        <v>102</v>
      </c>
      <c r="I9" s="1"/>
      <c r="J9" s="1"/>
      <c r="K9" s="1" t="s">
        <v>22</v>
      </c>
      <c r="L9" s="1" t="s">
        <v>22</v>
      </c>
      <c r="M9" s="1" t="s">
        <v>22</v>
      </c>
      <c r="N9" s="1" t="s">
        <v>24</v>
      </c>
      <c r="O9" s="1" t="s">
        <v>91</v>
      </c>
      <c r="P9" s="1" t="s">
        <v>47</v>
      </c>
      <c r="Q9" s="1" t="s">
        <v>94</v>
      </c>
      <c r="R9" s="1"/>
      <c r="S9" s="2">
        <v>24</v>
      </c>
      <c r="T9" s="2">
        <v>2.7</v>
      </c>
      <c r="U9" s="2">
        <v>26.7</v>
      </c>
      <c r="V9" s="5">
        <v>45452</v>
      </c>
      <c r="W9" s="1" t="s">
        <v>31</v>
      </c>
      <c r="X9" s="1" t="s">
        <v>48</v>
      </c>
      <c r="Y9" s="4" t="s">
        <v>70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5" thickBot="1" x14ac:dyDescent="0.4">
      <c r="A10" s="1" t="s">
        <v>46</v>
      </c>
      <c r="B10" s="1" t="s">
        <v>39</v>
      </c>
      <c r="C10" s="1" t="s">
        <v>40</v>
      </c>
      <c r="D10" s="1" t="s">
        <v>23</v>
      </c>
      <c r="E10" s="2">
        <v>8</v>
      </c>
      <c r="F10" s="1" t="s">
        <v>30</v>
      </c>
      <c r="G10" s="1" t="s">
        <v>99</v>
      </c>
      <c r="H10" s="1" t="s">
        <v>105</v>
      </c>
      <c r="I10" s="1"/>
      <c r="J10" s="1"/>
      <c r="K10" s="1" t="s">
        <v>22</v>
      </c>
      <c r="L10" s="1" t="s">
        <v>22</v>
      </c>
      <c r="M10" s="1" t="s">
        <v>22</v>
      </c>
      <c r="N10" s="1" t="s">
        <v>24</v>
      </c>
      <c r="O10" s="1" t="s">
        <v>91</v>
      </c>
      <c r="P10" s="1" t="s">
        <v>47</v>
      </c>
      <c r="Q10" s="1" t="s">
        <v>49</v>
      </c>
      <c r="R10" s="1" t="s">
        <v>94</v>
      </c>
      <c r="S10" s="2">
        <v>17</v>
      </c>
      <c r="T10" s="2">
        <v>1.75</v>
      </c>
      <c r="U10" s="2">
        <v>18.75</v>
      </c>
      <c r="V10" s="5">
        <v>45452</v>
      </c>
      <c r="W10" s="1" t="s">
        <v>31</v>
      </c>
      <c r="X10" s="1" t="s">
        <v>50</v>
      </c>
      <c r="Y10" s="4" t="s">
        <v>70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5" thickBot="1" x14ac:dyDescent="0.4">
      <c r="A11" s="1" t="s">
        <v>51</v>
      </c>
      <c r="B11" s="1" t="s">
        <v>52</v>
      </c>
      <c r="C11" s="2">
        <v>2000</v>
      </c>
      <c r="D11" s="1" t="s">
        <v>23</v>
      </c>
      <c r="E11" s="2">
        <v>9</v>
      </c>
      <c r="F11" s="1" t="s">
        <v>30</v>
      </c>
      <c r="G11" s="1" t="s">
        <v>99</v>
      </c>
      <c r="H11" s="1" t="s">
        <v>102</v>
      </c>
      <c r="I11" s="1"/>
      <c r="J11" s="1"/>
      <c r="K11" s="1" t="s">
        <v>23</v>
      </c>
      <c r="L11" s="1" t="s">
        <v>22</v>
      </c>
      <c r="M11" s="1" t="s">
        <v>22</v>
      </c>
      <c r="N11" s="1" t="s">
        <v>34</v>
      </c>
      <c r="O11" s="1" t="s">
        <v>90</v>
      </c>
      <c r="P11" s="1"/>
      <c r="Q11" s="1"/>
      <c r="R11" s="1"/>
      <c r="S11" s="2">
        <v>30</v>
      </c>
      <c r="T11" s="2">
        <v>0</v>
      </c>
      <c r="U11" s="2">
        <v>30</v>
      </c>
      <c r="V11" s="3">
        <v>45456</v>
      </c>
      <c r="W11" s="1" t="s">
        <v>31</v>
      </c>
      <c r="X11" s="1" t="s">
        <v>53</v>
      </c>
      <c r="Y11" s="4" t="s">
        <v>70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5" thickBot="1" x14ac:dyDescent="0.4">
      <c r="A12" s="1" t="s">
        <v>54</v>
      </c>
      <c r="B12" s="1" t="s">
        <v>21</v>
      </c>
      <c r="C12" s="2">
        <v>2000</v>
      </c>
      <c r="D12" s="1" t="s">
        <v>23</v>
      </c>
      <c r="E12" s="2">
        <v>8</v>
      </c>
      <c r="F12" s="1" t="s">
        <v>30</v>
      </c>
      <c r="G12" s="1" t="s">
        <v>99</v>
      </c>
      <c r="H12" s="1" t="s">
        <v>105</v>
      </c>
      <c r="I12" s="1"/>
      <c r="J12" s="1"/>
      <c r="K12" s="1" t="s">
        <v>23</v>
      </c>
      <c r="L12" s="1" t="s">
        <v>23</v>
      </c>
      <c r="M12" s="1" t="s">
        <v>22</v>
      </c>
      <c r="N12" s="1" t="s">
        <v>24</v>
      </c>
      <c r="O12" s="1" t="s">
        <v>90</v>
      </c>
      <c r="P12" s="1"/>
      <c r="Q12" s="1"/>
      <c r="R12" s="1"/>
      <c r="S12" s="2">
        <v>83</v>
      </c>
      <c r="T12" s="2">
        <v>3.08</v>
      </c>
      <c r="U12" s="2">
        <v>86.08</v>
      </c>
      <c r="V12" s="3">
        <v>45458</v>
      </c>
      <c r="W12" s="1" t="s">
        <v>31</v>
      </c>
      <c r="X12" s="1" t="s">
        <v>55</v>
      </c>
      <c r="Y12" s="4" t="s">
        <v>70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5" thickBot="1" x14ac:dyDescent="0.4">
      <c r="A13" s="1" t="s">
        <v>56</v>
      </c>
      <c r="B13" s="1" t="s">
        <v>57</v>
      </c>
      <c r="C13" s="2">
        <v>2022</v>
      </c>
      <c r="D13" s="1" t="s">
        <v>23</v>
      </c>
      <c r="E13" s="2">
        <v>10</v>
      </c>
      <c r="F13" s="1" t="s">
        <v>58</v>
      </c>
      <c r="G13" s="1"/>
      <c r="H13" s="1" t="s">
        <v>103</v>
      </c>
      <c r="I13" s="1"/>
      <c r="J13" s="1"/>
      <c r="K13" s="1" t="s">
        <v>23</v>
      </c>
      <c r="L13" s="1" t="s">
        <v>22</v>
      </c>
      <c r="M13" s="1" t="s">
        <v>22</v>
      </c>
      <c r="N13" s="1" t="s">
        <v>24</v>
      </c>
      <c r="O13" s="1" t="s">
        <v>90</v>
      </c>
      <c r="P13" s="1"/>
      <c r="Q13" s="1"/>
      <c r="R13" s="1"/>
      <c r="S13" s="2">
        <v>20.95</v>
      </c>
      <c r="T13" s="2">
        <v>0</v>
      </c>
      <c r="U13" s="2">
        <v>20.95</v>
      </c>
      <c r="V13" s="3">
        <v>45458</v>
      </c>
      <c r="W13" s="1" t="s">
        <v>31</v>
      </c>
      <c r="X13" s="1" t="s">
        <v>59</v>
      </c>
      <c r="Y13" s="4" t="s">
        <v>70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5" thickBot="1" x14ac:dyDescent="0.4">
      <c r="A14" s="1" t="s">
        <v>60</v>
      </c>
      <c r="B14" s="1" t="s">
        <v>61</v>
      </c>
      <c r="C14" s="2">
        <v>2004</v>
      </c>
      <c r="D14" s="1" t="s">
        <v>23</v>
      </c>
      <c r="E14" s="2">
        <v>9</v>
      </c>
      <c r="F14" s="1" t="s">
        <v>30</v>
      </c>
      <c r="G14" s="1" t="s">
        <v>99</v>
      </c>
      <c r="H14" s="1" t="s">
        <v>102</v>
      </c>
      <c r="I14" s="1"/>
      <c r="J14" s="1"/>
      <c r="K14" s="1" t="s">
        <v>23</v>
      </c>
      <c r="L14" s="1" t="s">
        <v>23</v>
      </c>
      <c r="M14" s="1" t="s">
        <v>22</v>
      </c>
      <c r="N14" s="1" t="s">
        <v>34</v>
      </c>
      <c r="O14" s="1" t="s">
        <v>90</v>
      </c>
      <c r="P14" s="1"/>
      <c r="Q14" s="1"/>
      <c r="R14" s="1"/>
      <c r="S14" s="2">
        <v>32</v>
      </c>
      <c r="T14" s="2">
        <v>2.1</v>
      </c>
      <c r="U14" s="2">
        <v>34.1</v>
      </c>
      <c r="V14" s="3">
        <v>45466</v>
      </c>
      <c r="W14" s="1" t="s">
        <v>31</v>
      </c>
      <c r="X14" s="1" t="s">
        <v>62</v>
      </c>
      <c r="Y14" s="4" t="s">
        <v>70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5" thickBot="1" x14ac:dyDescent="0.4">
      <c r="A15" s="1" t="s">
        <v>42</v>
      </c>
      <c r="B15" s="1" t="s">
        <v>39</v>
      </c>
      <c r="C15" s="1" t="s">
        <v>40</v>
      </c>
      <c r="D15" s="1" t="s">
        <v>23</v>
      </c>
      <c r="E15" s="2">
        <v>8</v>
      </c>
      <c r="F15" s="1" t="s">
        <v>30</v>
      </c>
      <c r="G15" s="1" t="s">
        <v>99</v>
      </c>
      <c r="H15" s="1" t="s">
        <v>105</v>
      </c>
      <c r="I15" s="1"/>
      <c r="J15" s="1"/>
      <c r="K15" s="1" t="s">
        <v>22</v>
      </c>
      <c r="L15" s="1" t="s">
        <v>22</v>
      </c>
      <c r="M15" s="1" t="s">
        <v>22</v>
      </c>
      <c r="N15" s="1" t="s">
        <v>24</v>
      </c>
      <c r="O15" s="1" t="s">
        <v>91</v>
      </c>
      <c r="P15" s="1" t="s">
        <v>94</v>
      </c>
      <c r="Q15" s="1"/>
      <c r="R15" s="1"/>
      <c r="S15" s="2">
        <v>27.49</v>
      </c>
      <c r="T15" s="2">
        <v>3.49</v>
      </c>
      <c r="U15" s="2">
        <v>30.98</v>
      </c>
      <c r="V15" s="3">
        <v>45470</v>
      </c>
      <c r="W15" s="1" t="s">
        <v>31</v>
      </c>
      <c r="X15" s="1" t="s">
        <v>63</v>
      </c>
      <c r="Y15" s="4" t="s">
        <v>70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5" thickBot="1" x14ac:dyDescent="0.4">
      <c r="A16" s="1" t="s">
        <v>64</v>
      </c>
      <c r="B16" s="1" t="s">
        <v>65</v>
      </c>
      <c r="C16" s="2">
        <v>2008</v>
      </c>
      <c r="D16" s="1" t="s">
        <v>23</v>
      </c>
      <c r="E16" s="2">
        <v>9</v>
      </c>
      <c r="F16" s="1" t="s">
        <v>30</v>
      </c>
      <c r="G16" s="1" t="s">
        <v>99</v>
      </c>
      <c r="H16" s="1" t="s">
        <v>102</v>
      </c>
      <c r="I16" s="1"/>
      <c r="J16" s="1"/>
      <c r="K16" s="1" t="s">
        <v>23</v>
      </c>
      <c r="L16" s="1" t="s">
        <v>23</v>
      </c>
      <c r="M16" s="1" t="s">
        <v>22</v>
      </c>
      <c r="N16" s="1" t="s">
        <v>34</v>
      </c>
      <c r="O16" s="1" t="s">
        <v>90</v>
      </c>
      <c r="P16" s="1"/>
      <c r="Q16" s="1"/>
      <c r="R16" s="1"/>
      <c r="S16" s="2">
        <v>19</v>
      </c>
      <c r="T16" s="2">
        <v>2.7</v>
      </c>
      <c r="U16" s="2">
        <v>21.7</v>
      </c>
      <c r="V16" s="3">
        <v>45470</v>
      </c>
      <c r="W16" s="1" t="s">
        <v>31</v>
      </c>
      <c r="X16" s="1" t="s">
        <v>66</v>
      </c>
      <c r="Y16" s="4" t="s">
        <v>70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5" thickBot="1" x14ac:dyDescent="0.4">
      <c r="A17" s="1" t="s">
        <v>67</v>
      </c>
      <c r="B17" s="1" t="s">
        <v>68</v>
      </c>
      <c r="C17" s="1">
        <v>2007</v>
      </c>
      <c r="D17" s="1" t="s">
        <v>23</v>
      </c>
      <c r="E17" s="1">
        <v>9</v>
      </c>
      <c r="F17" s="1" t="s">
        <v>30</v>
      </c>
      <c r="G17" s="1" t="s">
        <v>99</v>
      </c>
      <c r="H17" s="1" t="s">
        <v>102</v>
      </c>
      <c r="I17" s="1"/>
      <c r="J17" s="1"/>
      <c r="K17" s="1" t="s">
        <v>23</v>
      </c>
      <c r="L17" s="1" t="s">
        <v>23</v>
      </c>
      <c r="M17" s="1" t="s">
        <v>22</v>
      </c>
      <c r="N17" s="1" t="s">
        <v>34</v>
      </c>
      <c r="O17" s="1" t="s">
        <v>90</v>
      </c>
      <c r="P17" s="1"/>
      <c r="Q17" s="1"/>
      <c r="R17" s="1"/>
      <c r="S17" s="1">
        <v>33.99</v>
      </c>
      <c r="T17" s="1">
        <v>0</v>
      </c>
      <c r="U17" s="1">
        <v>33.99</v>
      </c>
      <c r="V17" s="3">
        <v>45532</v>
      </c>
      <c r="W17" s="1" t="s">
        <v>31</v>
      </c>
      <c r="X17" s="1" t="s">
        <v>71</v>
      </c>
      <c r="Y17" s="4" t="s">
        <v>70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5" thickBot="1" x14ac:dyDescent="0.4">
      <c r="A18" s="1" t="s">
        <v>72</v>
      </c>
      <c r="B18" s="1" t="s">
        <v>21</v>
      </c>
      <c r="C18" s="1">
        <v>2000</v>
      </c>
      <c r="D18" s="1" t="s">
        <v>23</v>
      </c>
      <c r="E18" s="1">
        <v>8</v>
      </c>
      <c r="F18" s="1" t="s">
        <v>30</v>
      </c>
      <c r="G18" s="1" t="s">
        <v>99</v>
      </c>
      <c r="H18" s="1" t="s">
        <v>105</v>
      </c>
      <c r="I18" s="1"/>
      <c r="J18" s="1"/>
      <c r="K18" s="1" t="s">
        <v>23</v>
      </c>
      <c r="L18" s="1" t="s">
        <v>23</v>
      </c>
      <c r="M18" s="1" t="s">
        <v>22</v>
      </c>
      <c r="N18" s="1" t="s">
        <v>24</v>
      </c>
      <c r="O18" s="1" t="s">
        <v>90</v>
      </c>
      <c r="P18" s="1"/>
      <c r="Q18" s="1"/>
      <c r="R18" s="1"/>
      <c r="S18" s="1">
        <v>42</v>
      </c>
      <c r="T18" s="1">
        <v>2.7</v>
      </c>
      <c r="U18" s="1">
        <v>44.7</v>
      </c>
      <c r="V18" s="3">
        <v>45475</v>
      </c>
      <c r="W18" s="1" t="s">
        <v>31</v>
      </c>
      <c r="X18" s="1" t="s">
        <v>73</v>
      </c>
      <c r="Y18" s="4" t="s">
        <v>70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5" thickBot="1" x14ac:dyDescent="0.4">
      <c r="A19" s="1" t="s">
        <v>74</v>
      </c>
      <c r="B19" s="1" t="s">
        <v>75</v>
      </c>
      <c r="C19" s="1">
        <v>1997</v>
      </c>
      <c r="D19" s="1" t="s">
        <v>23</v>
      </c>
      <c r="E19" s="1">
        <v>10</v>
      </c>
      <c r="F19" s="1" t="s">
        <v>76</v>
      </c>
      <c r="G19" s="1" t="s">
        <v>100</v>
      </c>
      <c r="H19" s="1" t="s">
        <v>103</v>
      </c>
      <c r="I19" s="1"/>
      <c r="J19" s="1"/>
      <c r="K19" s="1" t="s">
        <v>23</v>
      </c>
      <c r="L19" s="1" t="s">
        <v>22</v>
      </c>
      <c r="M19" s="1" t="s">
        <v>22</v>
      </c>
      <c r="N19" s="1" t="s">
        <v>34</v>
      </c>
      <c r="O19" s="1" t="s">
        <v>90</v>
      </c>
      <c r="P19" s="1"/>
      <c r="Q19" s="1"/>
      <c r="R19" s="1"/>
      <c r="S19" s="1">
        <v>36</v>
      </c>
      <c r="T19" s="1">
        <v>1.55</v>
      </c>
      <c r="U19" s="1">
        <v>37.549999999999997</v>
      </c>
      <c r="V19" s="3">
        <v>45531</v>
      </c>
      <c r="W19" s="1" t="s">
        <v>31</v>
      </c>
      <c r="X19" s="1" t="s">
        <v>77</v>
      </c>
      <c r="Y19" s="4" t="s">
        <v>70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" thickBot="1" x14ac:dyDescent="0.4">
      <c r="A20" s="1" t="s">
        <v>33</v>
      </c>
      <c r="B20" s="1" t="s">
        <v>78</v>
      </c>
      <c r="C20" s="1">
        <v>2020</v>
      </c>
      <c r="D20" s="1" t="s">
        <v>23</v>
      </c>
      <c r="E20" s="1">
        <v>10</v>
      </c>
      <c r="F20" s="1" t="s">
        <v>30</v>
      </c>
      <c r="G20" s="1" t="s">
        <v>99</v>
      </c>
      <c r="H20" s="1" t="s">
        <v>103</v>
      </c>
      <c r="I20" s="1"/>
      <c r="J20" s="1"/>
      <c r="K20" s="1" t="s">
        <v>22</v>
      </c>
      <c r="L20" s="1" t="s">
        <v>22</v>
      </c>
      <c r="M20" s="1" t="s">
        <v>22</v>
      </c>
      <c r="N20" s="1" t="s">
        <v>34</v>
      </c>
      <c r="O20" s="1" t="s">
        <v>90</v>
      </c>
      <c r="P20" s="1" t="s">
        <v>79</v>
      </c>
      <c r="Q20" s="1"/>
      <c r="R20" s="1"/>
      <c r="S20" s="1">
        <v>29.95</v>
      </c>
      <c r="T20" s="1">
        <v>0</v>
      </c>
      <c r="U20" s="1">
        <v>29.95</v>
      </c>
      <c r="V20" s="3">
        <v>45533</v>
      </c>
      <c r="W20" s="1" t="s">
        <v>31</v>
      </c>
      <c r="X20" s="1" t="s">
        <v>80</v>
      </c>
      <c r="Y20" s="4" t="s">
        <v>70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" thickBot="1" x14ac:dyDescent="0.4">
      <c r="A21" s="1" t="s">
        <v>81</v>
      </c>
      <c r="B21" s="1" t="s">
        <v>82</v>
      </c>
      <c r="C21" s="1">
        <v>2022</v>
      </c>
      <c r="D21" s="1" t="s">
        <v>23</v>
      </c>
      <c r="E21" s="1">
        <v>10</v>
      </c>
      <c r="F21" s="1" t="s">
        <v>30</v>
      </c>
      <c r="G21" s="1" t="s">
        <v>99</v>
      </c>
      <c r="H21" s="1" t="s">
        <v>103</v>
      </c>
      <c r="I21" s="1"/>
      <c r="J21" s="1"/>
      <c r="K21" s="1" t="s">
        <v>23</v>
      </c>
      <c r="L21" s="1" t="s">
        <v>22</v>
      </c>
      <c r="M21" s="1" t="s">
        <v>22</v>
      </c>
      <c r="N21" s="1" t="s">
        <v>34</v>
      </c>
      <c r="O21" s="1" t="s">
        <v>90</v>
      </c>
      <c r="P21" s="1" t="s">
        <v>83</v>
      </c>
      <c r="Q21" s="1"/>
      <c r="R21" s="1"/>
      <c r="S21" s="1">
        <v>28</v>
      </c>
      <c r="T21" s="1">
        <v>0</v>
      </c>
      <c r="U21" s="1">
        <v>28</v>
      </c>
      <c r="V21" s="3">
        <v>45533</v>
      </c>
      <c r="W21" s="1" t="s">
        <v>31</v>
      </c>
      <c r="X21" s="1" t="s">
        <v>84</v>
      </c>
      <c r="Y21" s="4" t="s">
        <v>70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" thickBot="1" x14ac:dyDescent="0.4">
      <c r="A22" s="1" t="s">
        <v>85</v>
      </c>
      <c r="B22" s="1" t="s">
        <v>86</v>
      </c>
      <c r="C22" s="1">
        <v>2022</v>
      </c>
      <c r="D22" s="1" t="s">
        <v>23</v>
      </c>
      <c r="E22" s="1">
        <v>9</v>
      </c>
      <c r="F22" s="1" t="s">
        <v>30</v>
      </c>
      <c r="G22" s="1" t="s">
        <v>99</v>
      </c>
      <c r="H22" s="1" t="s">
        <v>102</v>
      </c>
      <c r="I22" s="1"/>
      <c r="J22" s="1"/>
      <c r="K22" s="1" t="s">
        <v>23</v>
      </c>
      <c r="L22" s="1" t="s">
        <v>22</v>
      </c>
      <c r="M22" s="1" t="s">
        <v>22</v>
      </c>
      <c r="N22" s="1" t="s">
        <v>34</v>
      </c>
      <c r="O22" s="1" t="s">
        <v>90</v>
      </c>
      <c r="P22" s="1"/>
      <c r="Q22" s="1"/>
      <c r="R22" s="1"/>
      <c r="S22" s="1">
        <v>18</v>
      </c>
      <c r="T22" s="1">
        <v>0</v>
      </c>
      <c r="U22" s="1">
        <v>18</v>
      </c>
      <c r="V22" s="3">
        <v>45533</v>
      </c>
      <c r="W22" s="1" t="s">
        <v>31</v>
      </c>
      <c r="X22" s="1" t="s">
        <v>87</v>
      </c>
      <c r="Y22" s="4" t="s">
        <v>70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" thickBot="1" x14ac:dyDescent="0.4">
      <c r="A23" s="1" t="s">
        <v>95</v>
      </c>
      <c r="B23" s="1" t="s">
        <v>75</v>
      </c>
      <c r="C23" s="1">
        <v>1999</v>
      </c>
      <c r="D23" s="1" t="s">
        <v>23</v>
      </c>
      <c r="E23" s="1">
        <v>8</v>
      </c>
      <c r="F23" s="1" t="s">
        <v>30</v>
      </c>
      <c r="G23" s="1" t="s">
        <v>99</v>
      </c>
      <c r="H23" s="1" t="s">
        <v>105</v>
      </c>
      <c r="I23" s="1"/>
      <c r="J23" s="1"/>
      <c r="K23" s="1" t="s">
        <v>22</v>
      </c>
      <c r="L23" s="1" t="s">
        <v>23</v>
      </c>
      <c r="M23" s="1" t="s">
        <v>22</v>
      </c>
      <c r="N23" s="1" t="s">
        <v>24</v>
      </c>
      <c r="O23" s="1" t="s">
        <v>96</v>
      </c>
      <c r="P23" s="1"/>
      <c r="Q23" s="1"/>
      <c r="R23" s="1"/>
      <c r="S23" s="1">
        <v>18</v>
      </c>
      <c r="T23" s="1">
        <v>0</v>
      </c>
      <c r="U23" s="1">
        <v>18</v>
      </c>
      <c r="V23" s="3"/>
      <c r="W23" s="1" t="s">
        <v>31</v>
      </c>
      <c r="X23" s="1"/>
      <c r="Y23" s="4" t="s">
        <v>70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1:4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1:4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1:4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1:4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1:4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1:4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1:4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1:4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1:4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1:4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1:4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1:4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1:4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1:4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1:4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1:4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1:4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1:4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1:4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1:4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1:4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1:4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1:4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1:4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1:4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1:4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1:4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1:4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1:4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1:4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1:4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1:4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1:4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1:4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1:4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1:4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1:4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1:4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1:4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1:4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1:4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1:4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1:4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1:4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1:4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1:4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1:4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1:4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1:4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1:4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1:4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1:4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1:4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1:4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1:4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1:4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1:4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1:4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1:4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1:4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1:4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1:4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1:4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1:4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1:4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1:4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1:4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1:4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1:4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1:4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1:4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1:4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1:4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1:4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1:4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1:4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1:4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1:4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1:4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1:4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1:4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1:4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1:4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1:4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1:4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1:4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1:4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1:4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1:4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1:4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1:4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1:4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1:4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1:4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1:4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1:4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1:4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1:4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1:4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1:4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1:4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1:4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1:4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1:4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spans="1:4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spans="1:4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spans="1:4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spans="1:4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spans="1:4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spans="1:4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spans="1:4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spans="1:4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spans="1:4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spans="1:4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spans="1:4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spans="1:4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spans="1:4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spans="1:4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spans="1:4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spans="1:4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spans="1:4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spans="1:4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spans="1:4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spans="1:4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spans="1:4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spans="1:4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spans="1:4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spans="1:4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spans="1:4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spans="1:4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spans="1:4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spans="1:4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spans="1:4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spans="1:4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spans="1:4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spans="1:4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spans="1:4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spans="1:4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spans="1:4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spans="1:4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spans="1:4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spans="1:4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spans="1:4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spans="1:4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spans="1:4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spans="1:4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spans="1:4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spans="1:4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spans="1:4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spans="1:4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spans="1:4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spans="1:4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spans="1:4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spans="1:4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spans="1:4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spans="1:4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spans="1:4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spans="1:4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spans="1:4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spans="1:4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spans="1:4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spans="1:4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spans="1:4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spans="1:4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spans="1:4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spans="1:4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spans="1:4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spans="1:4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spans="1:4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spans="1:4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spans="1:4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spans="1:4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spans="1:4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spans="1:4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spans="1:4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spans="1:4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spans="1:4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spans="1:4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spans="1:4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spans="1:4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spans="1:4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spans="1:4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spans="1:4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spans="1:4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spans="1:4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spans="1:4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spans="1:4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spans="1:4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spans="1:4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spans="1:4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spans="1:4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spans="1:4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spans="1:4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spans="1:4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spans="1:4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spans="1:4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spans="1:4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spans="1:4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spans="1:4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spans="1:4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spans="1:4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spans="1:4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spans="1:4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spans="1:4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spans="1:4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spans="1:4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spans="1:4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spans="1:4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spans="1:4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spans="1:4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spans="1:4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spans="1:4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spans="1:4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spans="1:4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spans="1:4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spans="1:4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spans="1:4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spans="1:4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spans="1:4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spans="1:4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spans="1:4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spans="1:4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spans="1:4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spans="1:4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spans="1:4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spans="1:4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spans="1:4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spans="1:4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spans="1:4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spans="1:4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spans="1:4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spans="1:4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spans="1:4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spans="1:4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spans="1:4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spans="1:4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spans="1:4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spans="1:4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spans="1:4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spans="1:4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spans="1:4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spans="1:4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spans="1:4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spans="1:4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spans="1:4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spans="1:4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spans="1:4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spans="1:4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spans="1:4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spans="1:4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spans="1:4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spans="1:4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spans="1:4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spans="1:4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spans="1:4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spans="1:4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spans="1:4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spans="1:4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spans="1:4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spans="1:4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spans="1:4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spans="1:4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spans="1:4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spans="1:4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spans="1:4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spans="1:4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spans="1:4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spans="1:4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spans="1:4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spans="1:4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spans="1:4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spans="1:4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spans="1:4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spans="1:4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spans="1:4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spans="1:4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spans="1:4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spans="1:4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spans="1:4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spans="1:4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spans="1:4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spans="1:4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spans="1:4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spans="1:4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spans="1:4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spans="1:4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spans="1:4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spans="1:4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spans="1:4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spans="1:4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spans="1:4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spans="1:4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spans="1:4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spans="1:4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spans="1:4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spans="1:4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spans="1:4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spans="1:4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spans="1:4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spans="1:4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spans="1:4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spans="1:4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spans="1:4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spans="1:4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spans="1:4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spans="1:4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spans="1:4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spans="1:4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spans="1:4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spans="1:4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spans="1:4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spans="1:4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spans="1:4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spans="1:4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spans="1:4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spans="1:4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spans="1:4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spans="1:4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spans="1:4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spans="1:4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spans="1:4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spans="1:4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spans="1:4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spans="1:4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spans="1:4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spans="1:4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spans="1:4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spans="1:4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spans="1:4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spans="1:4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spans="1:4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spans="1:4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spans="1:4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spans="1:4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spans="1:4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spans="1:4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spans="1:4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spans="1:4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spans="1:4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spans="1:4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spans="1:4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spans="1:4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spans="1:4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spans="1:4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spans="1:4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spans="1:4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spans="1:4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spans="1:4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spans="1:4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spans="1:4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spans="1:4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spans="1:4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spans="1:4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spans="1:4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spans="1:4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spans="1:4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spans="1:4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spans="1:4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spans="1:4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spans="1:4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spans="1:4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spans="1:4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spans="1:4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spans="1:4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spans="1:4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spans="1:4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spans="1:4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spans="1:4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spans="1:4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spans="1:4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spans="1:4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spans="1:4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spans="1:4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spans="1:4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spans="1:4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spans="1:4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spans="1:4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spans="1:4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spans="1:4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spans="1:4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spans="1:4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spans="1:4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spans="1:4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spans="1:4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spans="1:4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spans="1:4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spans="1:4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spans="1:4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spans="1:4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spans="1:4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spans="1:4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spans="1:4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spans="1:4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spans="1:4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spans="1:4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spans="1:4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spans="1:4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spans="1:4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spans="1:4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spans="1:4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spans="1:4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spans="1:4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spans="1:4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spans="1:4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spans="1:4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spans="1:4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spans="1:4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spans="1:4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spans="1:4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spans="1:4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spans="1:4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spans="1:4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spans="1:4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spans="1:4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spans="1:4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spans="1:4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spans="1:4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spans="1:4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spans="1:4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spans="1:4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spans="1:4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spans="1:4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spans="1:4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spans="1:4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spans="1:4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spans="1:4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spans="1:4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spans="1:4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spans="1:4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spans="1:4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spans="1:4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spans="1:4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spans="1:4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spans="1:4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spans="1:4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spans="1:4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spans="1:4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spans="1:4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spans="1:4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spans="1:4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spans="1:4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spans="1:4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spans="1:4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spans="1:4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spans="1:4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spans="1:4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spans="1:4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spans="1:4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spans="1:4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spans="1:4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spans="1:4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spans="1:4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spans="1:4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spans="1:4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spans="1:4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spans="1:4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spans="1:4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spans="1:4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spans="1:4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spans="1:4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spans="1:4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spans="1:4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spans="1:4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spans="1:4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spans="1:4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spans="1:4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spans="1:4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spans="1:4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spans="1:4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spans="1:4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spans="1:4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spans="1:4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spans="1:4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spans="1:4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spans="1:4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spans="1:4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spans="1:4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spans="1:4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spans="1:4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spans="1:4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spans="1:4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spans="1:4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spans="1:4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spans="1:4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spans="1:4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spans="1:4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spans="1:4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spans="1:4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spans="1:4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spans="1:4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spans="1:4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spans="1:4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spans="1:4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spans="1:4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spans="1:4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spans="1:4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spans="1:4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spans="1:4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  <row r="1001" spans="1:46" ht="15" thickBo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</row>
  </sheetData>
  <hyperlinks>
    <hyperlink ref="Y2" r:id="rId1" xr:uid="{9BBDC243-60B6-430B-B940-833F4F0E5DD4}"/>
    <hyperlink ref="Y3" r:id="rId2" xr:uid="{C99D51E7-2EE0-4A0B-9170-025A61644365}"/>
    <hyperlink ref="Y4:Y17" r:id="rId3" display="https://ebay.co.uk" xr:uid="{D3E6FB65-13BC-4C4D-B1BC-B92DC930B43A}"/>
    <hyperlink ref="Y18" r:id="rId4" xr:uid="{89FCDA77-2547-427A-89B6-FE8B5DF691C2}"/>
    <hyperlink ref="Y19" r:id="rId5" xr:uid="{5ED20955-1EDE-40FE-BA53-B69036B7D153}"/>
    <hyperlink ref="Y20" r:id="rId6" xr:uid="{193394C9-071F-4510-B788-47592010CC50}"/>
    <hyperlink ref="Y21" r:id="rId7" xr:uid="{5DE3BF49-67F2-4D39-BA84-888EE9DA0B02}"/>
    <hyperlink ref="Y22" r:id="rId8" xr:uid="{51D31016-EF93-40CA-A53A-7A1DB2AF88BF}"/>
    <hyperlink ref="Y23" r:id="rId9" xr:uid="{B14AFC6E-B7B9-4FFF-8AA9-A9E268A7B575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56D1-BB88-4E9F-97D8-9266BD3EE970}">
  <dimension ref="A1:A2"/>
  <sheetViews>
    <sheetView workbookViewId="0">
      <selection activeCell="L8" sqref="L8"/>
    </sheetView>
  </sheetViews>
  <sheetFormatPr defaultRowHeight="14.5" x14ac:dyDescent="0.35"/>
  <cols>
    <col min="1" max="1" width="14.54296875" bestFit="1" customWidth="1"/>
    <col min="2" max="2" width="5.81640625" bestFit="1" customWidth="1"/>
  </cols>
  <sheetData>
    <row r="1" spans="1:1" x14ac:dyDescent="0.35">
      <c r="A1" t="s">
        <v>69</v>
      </c>
    </row>
    <row r="2" spans="1:1" x14ac:dyDescent="0.35">
      <c r="A2">
        <f>SUM('Pokemon Cards'!U:U)</f>
        <v>690.80000000000007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 Cards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Harris</dc:creator>
  <cp:lastModifiedBy>Jessica Harris</cp:lastModifiedBy>
  <dcterms:created xsi:type="dcterms:W3CDTF">2026-03-15T14:45:10Z</dcterms:created>
  <dcterms:modified xsi:type="dcterms:W3CDTF">2026-04-03T16:25:41Z</dcterms:modified>
</cp:coreProperties>
</file>